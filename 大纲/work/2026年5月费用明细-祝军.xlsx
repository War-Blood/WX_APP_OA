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5月出差费用报销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<sst xmlns="http://schemas.openxmlformats.org/spreadsheetml/2006/main" count="143" uniqueCount="49">
  <si>
    <t>出差费用汇总表</t>
  </si>
  <si>
    <t>出差人：</t>
  </si>
  <si>
    <t>祝军</t>
  </si>
  <si>
    <t>部门：</t>
  </si>
  <si>
    <t>技术工程中心</t>
  </si>
  <si>
    <t>出差事由：</t>
  </si>
  <si>
    <t>序号</t>
  </si>
  <si>
    <t>出差时间</t>
  </si>
  <si>
    <t>出差地</t>
  </si>
  <si>
    <t>状态</t>
  </si>
  <si>
    <t>费用明细</t>
  </si>
  <si>
    <t>机票</t>
  </si>
  <si>
    <t>动车票</t>
  </si>
  <si>
    <t>打车费</t>
  </si>
  <si>
    <t>住宿费</t>
  </si>
  <si>
    <t>过路费</t>
  </si>
  <si>
    <t>加油费</t>
  </si>
  <si>
    <t>招待费</t>
  </si>
  <si>
    <t>其他</t>
  </si>
  <si>
    <t>费用说明</t>
  </si>
  <si>
    <t>项目所属</t>
  </si>
  <si>
    <t>内蒙古鄂尔多斯达拉特旗蒙泰二期风电场</t>
  </si>
  <si>
    <t>休息</t>
  </si>
  <si>
    <t>扎带x1、美工刀x1、刀片x1、清洁铲刀x1</t>
  </si>
  <si>
    <t>现场（陆）</t>
  </si>
  <si>
    <t>鄂尔多斯-宁夏中卫海原县</t>
  </si>
  <si>
    <t>在途</t>
  </si>
  <si>
    <t>宁夏中卫市海原县华电风电场</t>
  </si>
  <si>
    <t>保鲜膜x1</t>
  </si>
  <si>
    <t>总计</t>
  </si>
  <si>
    <t>姓名</t>
  </si>
  <si>
    <t>工作天数</t>
  </si>
  <si>
    <t>补贴金额</t>
  </si>
  <si>
    <t>非工作天数</t>
  </si>
  <si>
    <t>餐补</t>
  </si>
  <si>
    <t>合计</t>
  </si>
  <si>
    <t>报销总额：</t>
  </si>
  <si>
    <t>项目费用分解附表</t>
  </si>
  <si>
    <t>项目名称</t>
  </si>
  <si>
    <t>完成事项工作量</t>
  </si>
  <si>
    <t>数量</t>
  </si>
  <si>
    <t>累计费用（元）</t>
  </si>
  <si>
    <t>备注</t>
  </si>
  <si>
    <t>内蒙古鄂尔多斯达拉特旗蒙泰二期风电场一标段</t>
  </si>
  <si>
    <t>故障更换</t>
  </si>
  <si>
    <t>4台</t>
  </si>
  <si>
    <t>1台</t>
  </si>
  <si>
    <t>压电传感器安装</t>
  </si>
  <si>
    <t>2套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</si>
</sst>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3" borderId="11">
      <alignment vertical="center"/>
    </xf>
    <xf numFmtId="0" fontId="15" fillId="4" borderId="12">
      <alignment vertical="center"/>
    </xf>
    <xf numFmtId="0" fontId="16" fillId="4" borderId="11">
      <alignment vertical="center"/>
    </xf>
    <xf numFmtId="0" fontId="17" fillId="5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shrinkToFit="1"/>
    </xf>
    <xf numFmtId="176" fontId="0" fillId="0" borderId="3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177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topLeftCell="B1" workbookViewId="0">
      <pane ySplit="4" topLeftCell="A20" activePane="bottomLeft" state="frozen"/>
      <selection/>
      <selection pane="bottomLeft" activeCell="I2" sqref="I2:N2"/>
    </sheetView>
  </sheetViews>
  <sheetFormatPr defaultColWidth="9" defaultRowHeight="18" customHeight="1"/>
  <cols>
    <col min="1" max="1" width="3.75" style="1" customWidth="1"/>
    <col min="2" max="2" width="10.4416666666667" style="1" customWidth="1"/>
    <col min="3" max="3" width="20.375" style="1" customWidth="1"/>
    <col min="4" max="4" width="8.63333333333333" style="2" customWidth="1"/>
    <col min="5" max="5" width="9.66666666666667" style="1" customWidth="1"/>
    <col min="6" max="12" width="9.775" style="3" customWidth="1"/>
    <col min="13" max="13" width="22.5583333333333" style="1" customWidth="1"/>
    <col min="14" max="14" width="15.1333333333333" style="1" customWidth="1"/>
  </cols>
  <sheetData>
    <row r="1" ht="23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34" customHeight="1" spans="1:14">
      <c r="A2" s="5" t="s">
        <v>1</v>
      </c>
      <c r="B2" s="6"/>
      <c r="C2" s="7" t="s">
        <v>2</v>
      </c>
      <c r="D2" s="8" t="s">
        <v>3</v>
      </c>
      <c r="E2" s="9" t="s">
        <v>4</v>
      </c>
      <c r="F2" s="10"/>
      <c r="G2" s="11" t="s">
        <v>5</v>
      </c>
      <c r="H2" s="12"/>
      <c r="I2" s="13"/>
      <c r="J2" s="14"/>
      <c r="K2" s="14"/>
      <c r="L2" s="14"/>
      <c r="M2" s="15"/>
      <c r="N2" s="16"/>
    </row>
    <row r="3" ht="27" customHeight="1" spans="1:14">
      <c r="A3" s="17" t="s">
        <v>6</v>
      </c>
      <c r="B3" s="17" t="s">
        <v>7</v>
      </c>
      <c r="C3" s="17" t="s">
        <v>8</v>
      </c>
      <c r="D3" s="8" t="s">
        <v>9</v>
      </c>
      <c r="E3" s="17" t="s">
        <v>10</v>
      </c>
      <c r="F3" s="18"/>
      <c r="G3" s="18"/>
      <c r="H3" s="18"/>
      <c r="I3" s="18"/>
      <c r="J3" s="18"/>
      <c r="K3" s="18"/>
      <c r="L3" s="18"/>
      <c r="M3" s="17"/>
      <c r="N3" s="7"/>
    </row>
    <row r="4" customHeight="1" spans="1:14">
      <c r="A4" s="17"/>
      <c r="B4" s="17"/>
      <c r="C4" s="17"/>
      <c r="D4" s="8"/>
      <c r="E4" s="17" t="s">
        <v>11</v>
      </c>
      <c r="F4" s="18" t="s">
        <v>12</v>
      </c>
      <c r="G4" s="18" t="s">
        <v>13</v>
      </c>
      <c r="H4" s="18" t="s">
        <v>14</v>
      </c>
      <c r="I4" s="18" t="s">
        <v>15</v>
      </c>
      <c r="J4" s="18" t="s">
        <v>16</v>
      </c>
      <c r="K4" s="18" t="s">
        <v>17</v>
      </c>
      <c r="L4" s="18" t="s">
        <v>18</v>
      </c>
      <c r="M4" s="17" t="s">
        <v>19</v>
      </c>
      <c r="N4" s="17" t="s">
        <v>20</v>
      </c>
    </row>
    <row r="5" ht="25" customHeight="1" spans="1:14">
      <c r="A5" s="19">
        <f t="shared" ref="A5:A18" si="0">ROW()-4</f>
        <v>1</v>
      </c>
      <c r="B5" s="20">
        <v>46143</v>
      </c>
      <c r="C5" s="19" t="s">
        <v>21</v>
      </c>
      <c r="D5" s="21" t="s">
        <v>22</v>
      </c>
      <c r="E5" s="22"/>
      <c r="F5" s="22"/>
      <c r="G5" s="22"/>
      <c r="H5" s="22">
        <v>176</v>
      </c>
      <c r="I5" s="22"/>
      <c r="J5" s="22"/>
      <c r="K5" s="22"/>
      <c r="L5" s="22">
        <v>29</v>
      </c>
      <c r="M5" s="23" t="s">
        <v>23</v>
      </c>
      <c r="N5" s="24" t="s">
        <v>21</v>
      </c>
    </row>
    <row r="6" ht="25" customHeight="1" spans="1:14">
      <c r="A6" s="19">
        <f t="shared" si="0"/>
        <v>2</v>
      </c>
      <c r="B6" s="20">
        <v>46144</v>
      </c>
      <c r="C6" s="19" t="s">
        <v>21</v>
      </c>
      <c r="D6" s="21" t="s">
        <v>24</v>
      </c>
      <c r="E6" s="22"/>
      <c r="F6" s="22"/>
      <c r="G6" s="22"/>
      <c r="H6" s="22">
        <v>174</v>
      </c>
      <c r="I6" s="22"/>
      <c r="J6" s="22"/>
      <c r="K6" s="22"/>
      <c r="L6" s="22"/>
      <c r="M6" s="19"/>
      <c r="N6" s="24" t="s">
        <v>21</v>
      </c>
    </row>
    <row r="7" ht="25" customHeight="1" spans="1:14">
      <c r="A7" s="19">
        <f t="shared" si="0"/>
        <v>3</v>
      </c>
      <c r="B7" s="20">
        <v>46145</v>
      </c>
      <c r="C7" s="19" t="s">
        <v>21</v>
      </c>
      <c r="D7" s="21" t="s">
        <v>24</v>
      </c>
      <c r="E7" s="22"/>
      <c r="F7" s="22"/>
      <c r="G7" s="22"/>
      <c r="H7" s="22">
        <v>177</v>
      </c>
      <c r="I7" s="22"/>
      <c r="J7" s="22"/>
      <c r="K7" s="22"/>
      <c r="L7" s="22"/>
      <c r="M7" s="19"/>
      <c r="N7" s="24" t="s">
        <v>21</v>
      </c>
    </row>
    <row r="8" ht="25" customHeight="1" spans="1:14">
      <c r="A8" s="19">
        <f t="shared" si="0"/>
        <v>4</v>
      </c>
      <c r="B8" s="20">
        <v>46146</v>
      </c>
      <c r="C8" s="19" t="s">
        <v>21</v>
      </c>
      <c r="D8" s="21" t="s">
        <v>24</v>
      </c>
      <c r="E8" s="22"/>
      <c r="F8" s="22"/>
      <c r="G8" s="22"/>
      <c r="H8" s="22">
        <v>173</v>
      </c>
      <c r="I8" s="22"/>
      <c r="J8" s="22"/>
      <c r="K8" s="22"/>
      <c r="L8" s="22"/>
      <c r="M8" s="19"/>
      <c r="N8" s="24" t="s">
        <v>21</v>
      </c>
    </row>
    <row r="9" ht="25" customHeight="1" spans="1:14">
      <c r="A9" s="19">
        <f t="shared" si="0"/>
        <v>5</v>
      </c>
      <c r="B9" s="20">
        <v>46147</v>
      </c>
      <c r="C9" s="19" t="s">
        <v>21</v>
      </c>
      <c r="D9" s="21" t="s">
        <v>22</v>
      </c>
      <c r="E9" s="22"/>
      <c r="F9" s="22"/>
      <c r="G9" s="22"/>
      <c r="H9" s="22">
        <v>175</v>
      </c>
      <c r="I9" s="22"/>
      <c r="J9" s="22"/>
      <c r="K9" s="22"/>
      <c r="L9" s="22"/>
      <c r="M9" s="19"/>
      <c r="N9" s="24" t="s">
        <v>21</v>
      </c>
    </row>
    <row r="10" ht="25" customHeight="1" spans="1:14">
      <c r="A10" s="19">
        <f t="shared" si="0"/>
        <v>6</v>
      </c>
      <c r="B10" s="20">
        <v>46148</v>
      </c>
      <c r="C10" s="19" t="s">
        <v>21</v>
      </c>
      <c r="D10" s="21" t="s">
        <v>22</v>
      </c>
      <c r="E10" s="22"/>
      <c r="F10" s="22"/>
      <c r="G10" s="22"/>
      <c r="H10" s="22">
        <v>178</v>
      </c>
      <c r="I10" s="22"/>
      <c r="J10" s="22"/>
      <c r="K10" s="22"/>
      <c r="L10" s="22"/>
      <c r="M10" s="19"/>
      <c r="N10" s="24" t="s">
        <v>21</v>
      </c>
    </row>
    <row r="11" ht="25" customHeight="1" spans="1:14">
      <c r="A11" s="19">
        <f t="shared" si="0"/>
        <v>7</v>
      </c>
      <c r="B11" s="20">
        <v>46149</v>
      </c>
      <c r="C11" s="23" t="s">
        <v>21</v>
      </c>
      <c r="D11" s="21" t="s">
        <v>22</v>
      </c>
      <c r="E11" s="22"/>
      <c r="F11" s="22"/>
      <c r="G11" s="22"/>
      <c r="H11" s="22">
        <v>172</v>
      </c>
      <c r="I11" s="22"/>
      <c r="J11" s="22"/>
      <c r="K11" s="22"/>
      <c r="L11" s="22"/>
      <c r="M11" s="23"/>
      <c r="N11" s="24" t="s">
        <v>21</v>
      </c>
    </row>
    <row r="12" ht="25" customHeight="1" spans="1:14">
      <c r="A12" s="19">
        <f t="shared" si="0"/>
        <v>8</v>
      </c>
      <c r="B12" s="20">
        <v>46150</v>
      </c>
      <c r="C12" s="23" t="s">
        <v>21</v>
      </c>
      <c r="D12" s="21" t="s">
        <v>22</v>
      </c>
      <c r="E12" s="22"/>
      <c r="F12" s="22"/>
      <c r="G12" s="22"/>
      <c r="H12" s="22">
        <v>175</v>
      </c>
      <c r="I12" s="22"/>
      <c r="J12" s="22"/>
      <c r="K12" s="22"/>
      <c r="L12" s="22"/>
      <c r="M12" s="19"/>
      <c r="N12" s="24" t="s">
        <v>21</v>
      </c>
    </row>
    <row r="13" ht="25" customHeight="1" spans="1:14">
      <c r="A13" s="19">
        <f t="shared" si="0"/>
        <v>9</v>
      </c>
      <c r="B13" s="20">
        <v>46151</v>
      </c>
      <c r="C13" s="23" t="s">
        <v>21</v>
      </c>
      <c r="D13" s="21" t="s">
        <v>22</v>
      </c>
      <c r="E13" s="22"/>
      <c r="F13" s="22"/>
      <c r="G13" s="22"/>
      <c r="H13" s="22">
        <v>179</v>
      </c>
      <c r="I13" s="22"/>
      <c r="J13" s="22"/>
      <c r="K13" s="22"/>
      <c r="L13" s="22"/>
      <c r="M13" s="19"/>
      <c r="N13" s="24" t="s">
        <v>21</v>
      </c>
    </row>
    <row r="14" ht="25" customHeight="1" spans="1:14">
      <c r="A14" s="19">
        <f t="shared" si="0"/>
        <v>10</v>
      </c>
      <c r="B14" s="20">
        <v>46152</v>
      </c>
      <c r="C14" s="23" t="s">
        <v>21</v>
      </c>
      <c r="D14" s="21" t="s">
        <v>22</v>
      </c>
      <c r="E14" s="22"/>
      <c r="F14" s="22"/>
      <c r="G14" s="22"/>
      <c r="H14" s="22">
        <v>171</v>
      </c>
      <c r="I14" s="22"/>
      <c r="J14" s="22"/>
      <c r="K14" s="22"/>
      <c r="L14" s="22"/>
      <c r="M14" s="19"/>
      <c r="N14" s="24" t="s">
        <v>21</v>
      </c>
    </row>
    <row r="15" ht="25" customHeight="1" spans="1:14">
      <c r="A15" s="19">
        <f t="shared" si="0"/>
        <v>11</v>
      </c>
      <c r="B15" s="20">
        <v>46153</v>
      </c>
      <c r="C15" s="23" t="s">
        <v>25</v>
      </c>
      <c r="D15" s="21" t="s">
        <v>26</v>
      </c>
      <c r="E15" s="22"/>
      <c r="F15" s="22"/>
      <c r="G15" s="22"/>
      <c r="H15" s="22">
        <v>175</v>
      </c>
      <c r="I15" s="22">
        <v>250</v>
      </c>
      <c r="J15" s="22">
        <v>418</v>
      </c>
      <c r="K15" s="22"/>
      <c r="L15" s="22"/>
      <c r="M15" s="19"/>
      <c r="N15" s="23" t="s">
        <v>27</v>
      </c>
    </row>
    <row r="16" ht="25" customHeight="1" spans="1:14">
      <c r="A16" s="19">
        <f t="shared" si="0"/>
        <v>12</v>
      </c>
      <c r="B16" s="20">
        <v>46154</v>
      </c>
      <c r="C16" s="23" t="s">
        <v>27</v>
      </c>
      <c r="D16" s="21" t="s">
        <v>22</v>
      </c>
      <c r="E16" s="22"/>
      <c r="F16" s="22"/>
      <c r="G16" s="22"/>
      <c r="H16" s="22">
        <v>180</v>
      </c>
      <c r="I16" s="22"/>
      <c r="J16" s="22"/>
      <c r="K16" s="22"/>
      <c r="L16" s="22"/>
      <c r="M16" s="19"/>
      <c r="N16" s="23" t="s">
        <v>27</v>
      </c>
    </row>
    <row r="17" ht="25" customHeight="1" spans="1:14">
      <c r="A17" s="19">
        <f t="shared" si="0"/>
        <v>13</v>
      </c>
      <c r="B17" s="20">
        <v>46155</v>
      </c>
      <c r="C17" s="23" t="s">
        <v>27</v>
      </c>
      <c r="D17" s="21" t="s">
        <v>22</v>
      </c>
      <c r="E17" s="22"/>
      <c r="F17" s="22"/>
      <c r="G17" s="22"/>
      <c r="H17" s="22">
        <v>170</v>
      </c>
      <c r="I17" s="22"/>
      <c r="J17" s="22"/>
      <c r="K17" s="22"/>
      <c r="L17" s="22"/>
      <c r="M17" s="19"/>
      <c r="N17" s="23" t="s">
        <v>27</v>
      </c>
    </row>
    <row r="18" ht="25" customHeight="1" spans="1:14">
      <c r="A18" s="19">
        <f t="shared" si="0"/>
        <v>14</v>
      </c>
      <c r="B18" s="20">
        <v>46156</v>
      </c>
      <c r="C18" s="23" t="s">
        <v>27</v>
      </c>
      <c r="D18" s="21" t="s">
        <v>22</v>
      </c>
      <c r="E18" s="22"/>
      <c r="F18" s="22"/>
      <c r="G18" s="22"/>
      <c r="H18" s="22">
        <v>175</v>
      </c>
      <c r="I18" s="22"/>
      <c r="J18" s="22"/>
      <c r="K18" s="22"/>
      <c r="L18" s="22"/>
      <c r="M18" s="19"/>
      <c r="N18" s="23" t="s">
        <v>27</v>
      </c>
    </row>
    <row r="19" ht="20" customHeight="1" spans="1:14">
      <c r="A19" s="19">
        <v>15</v>
      </c>
      <c r="B19" s="20">
        <v>46157</v>
      </c>
      <c r="C19" s="23" t="s">
        <v>27</v>
      </c>
      <c r="D19" s="21" t="s">
        <v>22</v>
      </c>
      <c r="E19" s="22"/>
      <c r="F19" s="22"/>
      <c r="G19" s="22"/>
      <c r="H19" s="22">
        <v>176</v>
      </c>
      <c r="I19" s="22"/>
      <c r="J19" s="22"/>
      <c r="K19" s="22"/>
      <c r="L19" s="22"/>
      <c r="M19" s="19"/>
      <c r="N19" s="23" t="s">
        <v>27</v>
      </c>
    </row>
    <row r="20" ht="21" customHeight="1" spans="1:14">
      <c r="A20" s="19">
        <f t="shared" ref="A20:A33" si="1">ROW()-4</f>
        <v>16</v>
      </c>
      <c r="B20" s="20">
        <v>46158</v>
      </c>
      <c r="C20" s="23" t="s">
        <v>27</v>
      </c>
      <c r="D20" s="21" t="s">
        <v>24</v>
      </c>
      <c r="E20" s="22"/>
      <c r="F20" s="22"/>
      <c r="G20" s="22"/>
      <c r="H20" s="22">
        <v>174</v>
      </c>
      <c r="I20" s="22"/>
      <c r="J20" s="22"/>
      <c r="K20" s="22"/>
      <c r="L20" s="22"/>
      <c r="M20" s="19"/>
      <c r="N20" s="23" t="s">
        <v>27</v>
      </c>
    </row>
    <row r="21" ht="25" customHeight="1" spans="1:14">
      <c r="A21" s="19">
        <f t="shared" si="1"/>
        <v>17</v>
      </c>
      <c r="B21" s="20">
        <v>46159</v>
      </c>
      <c r="C21" s="23" t="s">
        <v>27</v>
      </c>
      <c r="D21" s="21" t="s">
        <v>24</v>
      </c>
      <c r="E21" s="22"/>
      <c r="F21" s="22"/>
      <c r="G21" s="22"/>
      <c r="H21" s="22">
        <v>177</v>
      </c>
      <c r="I21" s="22"/>
      <c r="J21" s="22"/>
      <c r="K21" s="22"/>
      <c r="L21" s="22"/>
      <c r="M21" s="19"/>
      <c r="N21" s="23" t="s">
        <v>27</v>
      </c>
    </row>
    <row r="22" ht="21" customHeight="1" spans="1:14">
      <c r="A22" s="19">
        <f t="shared" si="1"/>
        <v>18</v>
      </c>
      <c r="B22" s="20">
        <v>46160</v>
      </c>
      <c r="C22" s="23" t="s">
        <v>27</v>
      </c>
      <c r="D22" s="21" t="s">
        <v>22</v>
      </c>
      <c r="E22" s="22"/>
      <c r="F22" s="22"/>
      <c r="G22" s="22"/>
      <c r="H22" s="22">
        <v>173</v>
      </c>
      <c r="I22" s="22"/>
      <c r="J22" s="22"/>
      <c r="K22" s="22"/>
      <c r="L22" s="22"/>
      <c r="M22" s="19"/>
      <c r="N22" s="23" t="s">
        <v>27</v>
      </c>
    </row>
    <row r="23" ht="25" customHeight="1" spans="1:14">
      <c r="A23" s="19">
        <f t="shared" si="1"/>
        <v>19</v>
      </c>
      <c r="B23" s="20">
        <v>46161</v>
      </c>
      <c r="C23" s="23" t="s">
        <v>27</v>
      </c>
      <c r="D23" s="21" t="s">
        <v>24</v>
      </c>
      <c r="E23" s="22"/>
      <c r="F23" s="22"/>
      <c r="G23" s="22"/>
      <c r="H23" s="22">
        <v>175</v>
      </c>
      <c r="I23" s="22"/>
      <c r="J23" s="22"/>
      <c r="K23" s="22"/>
      <c r="L23" s="22">
        <v>25</v>
      </c>
      <c r="M23" s="19" t="s">
        <v>28</v>
      </c>
      <c r="N23" s="23" t="s">
        <v>27</v>
      </c>
    </row>
    <row r="24" ht="24" customHeight="1" spans="1:14">
      <c r="A24" s="19">
        <f t="shared" si="1"/>
        <v>20</v>
      </c>
      <c r="B24" s="20">
        <v>46162</v>
      </c>
      <c r="C24" s="23" t="s">
        <v>27</v>
      </c>
      <c r="D24" s="21" t="s">
        <v>24</v>
      </c>
      <c r="E24" s="22"/>
      <c r="F24" s="22"/>
      <c r="G24" s="22"/>
      <c r="H24" s="22">
        <v>178</v>
      </c>
      <c r="I24" s="22"/>
      <c r="J24" s="22"/>
      <c r="K24" s="22"/>
      <c r="L24" s="22"/>
      <c r="M24" s="19"/>
      <c r="N24" s="23" t="s">
        <v>27</v>
      </c>
    </row>
    <row r="25" ht="29" customHeight="1" spans="1:14">
      <c r="A25" s="19">
        <f t="shared" si="1"/>
        <v>21</v>
      </c>
      <c r="B25" s="20">
        <v>46163</v>
      </c>
      <c r="C25" s="23" t="s">
        <v>27</v>
      </c>
      <c r="D25" s="21" t="s">
        <v>22</v>
      </c>
      <c r="E25" s="22"/>
      <c r="F25" s="22"/>
      <c r="G25" s="22"/>
      <c r="H25" s="22">
        <v>172</v>
      </c>
      <c r="I25" s="22"/>
      <c r="J25" s="22"/>
      <c r="K25" s="22"/>
      <c r="L25" s="22"/>
      <c r="M25" s="19"/>
      <c r="N25" s="23" t="s">
        <v>27</v>
      </c>
    </row>
    <row r="26" ht="27" customHeight="1" spans="1:14">
      <c r="A26" s="19">
        <f t="shared" si="1"/>
        <v>22</v>
      </c>
      <c r="B26" s="20">
        <v>46164</v>
      </c>
      <c r="C26" s="23" t="s">
        <v>27</v>
      </c>
      <c r="D26" s="21" t="s">
        <v>22</v>
      </c>
      <c r="E26" s="22"/>
      <c r="F26" s="22"/>
      <c r="G26" s="22"/>
      <c r="H26" s="22">
        <v>175</v>
      </c>
      <c r="I26" s="22"/>
      <c r="J26" s="22"/>
      <c r="K26" s="22"/>
      <c r="L26" s="22"/>
      <c r="M26" s="19"/>
      <c r="N26" s="23" t="s">
        <v>27</v>
      </c>
    </row>
    <row r="27" ht="24" customHeight="1" spans="1:14">
      <c r="A27" s="19">
        <f t="shared" si="1"/>
        <v>23</v>
      </c>
      <c r="B27" s="20">
        <v>46165</v>
      </c>
      <c r="C27" s="23" t="s">
        <v>27</v>
      </c>
      <c r="D27" s="21" t="s">
        <v>22</v>
      </c>
      <c r="E27" s="22"/>
      <c r="F27" s="22"/>
      <c r="G27" s="22"/>
      <c r="H27" s="22">
        <v>179</v>
      </c>
      <c r="I27" s="22"/>
      <c r="J27" s="22"/>
      <c r="K27" s="22"/>
      <c r="L27" s="22"/>
      <c r="M27" s="19"/>
      <c r="N27" s="23" t="s">
        <v>27</v>
      </c>
    </row>
    <row r="28" customHeight="1" spans="1:14">
      <c r="A28" s="19">
        <f t="shared" si="1"/>
        <v>24</v>
      </c>
      <c r="B28" s="20">
        <v>46166</v>
      </c>
      <c r="C28" s="23" t="s">
        <v>27</v>
      </c>
      <c r="D28" s="21" t="s">
        <v>22</v>
      </c>
      <c r="E28" s="22"/>
      <c r="F28" s="22"/>
      <c r="G28" s="22"/>
      <c r="H28" s="22">
        <v>171</v>
      </c>
      <c r="I28" s="22"/>
      <c r="J28" s="22"/>
      <c r="K28" s="22"/>
      <c r="L28" s="22"/>
      <c r="M28" s="19"/>
      <c r="N28" s="23" t="s">
        <v>27</v>
      </c>
    </row>
    <row r="29" customHeight="1" spans="1:14">
      <c r="A29" s="19">
        <f t="shared" si="1"/>
        <v>25</v>
      </c>
      <c r="B29" s="20">
        <v>46167</v>
      </c>
      <c r="C29" s="23" t="s">
        <v>27</v>
      </c>
      <c r="D29" s="21" t="s">
        <v>22</v>
      </c>
      <c r="E29" s="22"/>
      <c r="F29" s="22"/>
      <c r="G29" s="22"/>
      <c r="H29" s="22">
        <v>175</v>
      </c>
      <c r="I29" s="22"/>
      <c r="J29" s="22"/>
      <c r="K29" s="22"/>
      <c r="L29" s="22"/>
      <c r="M29" s="19"/>
      <c r="N29" s="23" t="s">
        <v>27</v>
      </c>
    </row>
    <row r="30" customHeight="1" spans="1:14">
      <c r="A30" s="19">
        <f t="shared" si="1"/>
        <v>26</v>
      </c>
      <c r="B30" s="20">
        <v>46168</v>
      </c>
      <c r="C30" s="23" t="s">
        <v>21</v>
      </c>
      <c r="D30" s="21" t="s">
        <v>26</v>
      </c>
      <c r="E30" s="22"/>
      <c r="F30" s="22"/>
      <c r="G30" s="22"/>
      <c r="H30" s="22">
        <v>180</v>
      </c>
      <c r="I30" s="22">
        <v>250</v>
      </c>
      <c r="J30" s="22">
        <v>493</v>
      </c>
      <c r="K30" s="22"/>
      <c r="L30" s="22"/>
      <c r="M30" s="19"/>
      <c r="N30" s="24" t="s">
        <v>21</v>
      </c>
    </row>
    <row r="31" customHeight="1" spans="1:14">
      <c r="A31" s="19">
        <f t="shared" si="1"/>
        <v>27</v>
      </c>
      <c r="B31" s="20">
        <v>46169</v>
      </c>
      <c r="C31" s="23" t="s">
        <v>21</v>
      </c>
      <c r="D31" s="21" t="s">
        <v>24</v>
      </c>
      <c r="E31" s="22"/>
      <c r="F31" s="22"/>
      <c r="G31" s="22"/>
      <c r="H31" s="22">
        <v>170</v>
      </c>
      <c r="I31" s="22"/>
      <c r="J31" s="22"/>
      <c r="K31" s="22"/>
      <c r="L31" s="22"/>
      <c r="M31" s="19"/>
      <c r="N31" s="24" t="s">
        <v>21</v>
      </c>
    </row>
    <row r="32" customHeight="1" spans="1:14">
      <c r="A32" s="19">
        <f t="shared" si="1"/>
        <v>28</v>
      </c>
      <c r="B32" s="20">
        <v>46170</v>
      </c>
      <c r="C32" s="23" t="s">
        <v>21</v>
      </c>
      <c r="D32" s="21" t="s">
        <v>24</v>
      </c>
      <c r="E32" s="22"/>
      <c r="F32" s="22"/>
      <c r="G32" s="22"/>
      <c r="H32" s="22">
        <v>175</v>
      </c>
      <c r="I32" s="22"/>
      <c r="J32" s="22"/>
      <c r="K32" s="22"/>
      <c r="L32" s="22"/>
      <c r="M32" s="19"/>
      <c r="N32" s="24" t="s">
        <v>21</v>
      </c>
    </row>
    <row r="33" customHeight="1" spans="1:14">
      <c r="A33" s="19">
        <f t="shared" si="1"/>
        <v>29</v>
      </c>
      <c r="B33" s="20">
        <v>46171</v>
      </c>
      <c r="C33" s="23" t="s">
        <v>21</v>
      </c>
      <c r="D33" s="21" t="s">
        <v>24</v>
      </c>
      <c r="E33" s="22"/>
      <c r="F33" s="22"/>
      <c r="G33" s="22"/>
      <c r="H33" s="22">
        <v>176</v>
      </c>
      <c r="I33" s="22"/>
      <c r="J33" s="22"/>
      <c r="K33" s="22"/>
      <c r="L33" s="22"/>
      <c r="M33" s="19"/>
      <c r="N33" s="24" t="s">
        <v>21</v>
      </c>
    </row>
    <row r="34" customHeight="1" spans="1:14">
      <c r="A34" s="19">
        <v>15</v>
      </c>
      <c r="B34" s="20">
        <v>46172</v>
      </c>
      <c r="C34" s="23" t="s">
        <v>21</v>
      </c>
      <c r="D34" s="21" t="s">
        <v>24</v>
      </c>
      <c r="E34" s="22"/>
      <c r="F34" s="22"/>
      <c r="G34" s="22"/>
      <c r="H34" s="22">
        <v>174</v>
      </c>
      <c r="I34" s="22">
        <v>23</v>
      </c>
      <c r="J34" s="22">
        <v>203</v>
      </c>
      <c r="K34" s="22"/>
      <c r="L34" s="22"/>
      <c r="M34" s="19"/>
      <c r="N34" s="24" t="s">
        <v>21</v>
      </c>
    </row>
    <row r="35" customHeight="1" spans="1:14">
      <c r="A35" s="19">
        <v>16</v>
      </c>
      <c r="B35" s="20">
        <v>46173</v>
      </c>
      <c r="C35" s="23" t="s">
        <v>21</v>
      </c>
      <c r="D35" s="21" t="s">
        <v>22</v>
      </c>
      <c r="E35" s="22"/>
      <c r="F35" s="22"/>
      <c r="G35" s="22"/>
      <c r="H35" s="22">
        <v>175</v>
      </c>
      <c r="I35" s="22"/>
      <c r="J35" s="22"/>
      <c r="K35" s="22"/>
      <c r="L35" s="22"/>
      <c r="M35" s="19"/>
      <c r="N35" s="24" t="s">
        <v>21</v>
      </c>
    </row>
    <row r="36" customHeight="1" spans="1:14">
      <c r="A36" s="7" t="s">
        <v>29</v>
      </c>
      <c r="B36" s="7"/>
      <c r="C36" s="7"/>
      <c r="D36" s="25"/>
      <c r="E36" s="7">
        <f t="shared" ref="E36:L36" si="2">SUM(E5:E35)</f>
        <v>0</v>
      </c>
      <c r="F36" s="26">
        <f t="shared" si="2"/>
        <v>0</v>
      </c>
      <c r="G36" s="26">
        <f t="shared" si="2"/>
        <v>0</v>
      </c>
      <c r="H36" s="26">
        <f t="shared" si="2"/>
        <v>5425</v>
      </c>
      <c r="I36" s="26">
        <f t="shared" si="2"/>
        <v>523</v>
      </c>
      <c r="J36" s="26">
        <f t="shared" si="2"/>
        <v>1114</v>
      </c>
      <c r="K36" s="26">
        <f t="shared" si="2"/>
        <v>0</v>
      </c>
      <c r="L36" s="26">
        <f t="shared" si="2"/>
        <v>54</v>
      </c>
      <c r="M36" s="7">
        <f>SUM(E36:L36)</f>
        <v>7116</v>
      </c>
      <c r="N36" s="7"/>
    </row>
    <row r="37" customHeight="1" spans="1:14">
      <c r="A37" s="17" t="s">
        <v>6</v>
      </c>
      <c r="B37" s="17" t="s">
        <v>30</v>
      </c>
      <c r="C37" s="17" t="s">
        <v>31</v>
      </c>
      <c r="D37" s="8" t="s">
        <v>32</v>
      </c>
      <c r="E37" s="17" t="s">
        <v>33</v>
      </c>
      <c r="F37" s="18" t="s">
        <v>32</v>
      </c>
      <c r="G37" s="18" t="s">
        <v>34</v>
      </c>
      <c r="H37" s="18" t="s">
        <v>35</v>
      </c>
      <c r="I37" s="22"/>
      <c r="J37" s="22"/>
      <c r="K37" s="22"/>
      <c r="L37" s="22"/>
      <c r="M37" s="19"/>
      <c r="N37" s="7"/>
    </row>
    <row r="38" customHeight="1" spans="1:14">
      <c r="A38" s="27">
        <v>1</v>
      </c>
      <c r="B38" s="28" t="s">
        <v>2</v>
      </c>
      <c r="C38" s="28">
        <f>COUNTIF(D5:D34,"现场*")</f>
        <v>11</v>
      </c>
      <c r="D38" s="29">
        <f>C38*80</f>
        <v>880</v>
      </c>
      <c r="E38" s="28">
        <f>COUNTIF(D5:D35,"在途*")+COUNTIF(D5:D35,"休息*")</f>
        <v>20</v>
      </c>
      <c r="F38" s="30">
        <f>E38*50</f>
        <v>1000</v>
      </c>
      <c r="G38" s="30">
        <f>PRODUCT(C38+E38)*50</f>
        <v>1550</v>
      </c>
      <c r="H38" s="30">
        <f>D38+F38+G38</f>
        <v>3430</v>
      </c>
      <c r="I38" s="31"/>
      <c r="J38" s="31"/>
      <c r="K38" s="32" t="s">
        <v>36</v>
      </c>
      <c r="L38" s="33"/>
      <c r="M38" s="28">
        <f>H38+M36</f>
        <v>10546</v>
      </c>
      <c r="N38" s="28"/>
    </row>
    <row r="39" ht="26" customHeight="1" spans="1:14">
      <c r="A39" s="34" t="s">
        <v>37</v>
      </c>
      <c r="B39" s="34"/>
      <c r="C39" s="34"/>
      <c r="D39" s="34"/>
      <c r="E39" s="34"/>
      <c r="F39" s="35"/>
      <c r="G39" s="35"/>
      <c r="H39" s="35"/>
      <c r="I39" s="35"/>
      <c r="J39" s="35"/>
      <c r="K39" s="35"/>
      <c r="L39" s="35"/>
      <c r="M39" s="34"/>
      <c r="N39" s="34"/>
    </row>
    <row r="40" customHeight="1" spans="1:14">
      <c r="A40" s="17" t="s">
        <v>6</v>
      </c>
      <c r="B40" s="17" t="s">
        <v>38</v>
      </c>
      <c r="C40" s="17"/>
      <c r="D40" s="17"/>
      <c r="E40" s="5" t="s">
        <v>39</v>
      </c>
      <c r="F40" s="36"/>
      <c r="G40" s="36"/>
      <c r="H40" s="36"/>
      <c r="I40" s="36"/>
      <c r="J40" s="12"/>
      <c r="K40" s="11" t="s">
        <v>40</v>
      </c>
      <c r="L40" s="12"/>
      <c r="M40" s="17" t="s">
        <v>41</v>
      </c>
      <c r="N40" s="17" t="s">
        <v>42</v>
      </c>
    </row>
    <row r="41" customHeight="1" spans="1:14">
      <c r="A41" s="7">
        <v>1</v>
      </c>
      <c r="B41" s="7" t="s">
        <v>43</v>
      </c>
      <c r="C41" s="7"/>
      <c r="D41" s="7"/>
      <c r="E41" s="37" t="s">
        <v>44</v>
      </c>
      <c r="F41" s="15"/>
      <c r="G41" s="15"/>
      <c r="H41" s="15"/>
      <c r="I41" s="15"/>
      <c r="J41" s="16"/>
      <c r="K41" s="37" t="s">
        <v>45</v>
      </c>
      <c r="L41" s="16"/>
      <c r="M41" s="7"/>
      <c r="N41" s="7"/>
    </row>
    <row r="42" customHeight="1" spans="1:14">
      <c r="A42" s="7">
        <v>2</v>
      </c>
      <c r="B42" s="7" t="s">
        <v>27</v>
      </c>
      <c r="C42" s="7"/>
      <c r="D42" s="7"/>
      <c r="E42" s="37" t="s">
        <v>44</v>
      </c>
      <c r="F42" s="15"/>
      <c r="G42" s="15"/>
      <c r="H42" s="15"/>
      <c r="I42" s="15"/>
      <c r="J42" s="16"/>
      <c r="K42" s="37" t="s">
        <v>46</v>
      </c>
      <c r="L42" s="16"/>
      <c r="M42" s="7"/>
      <c r="N42" s="7"/>
    </row>
    <row r="43" customHeight="1" spans="1:14">
      <c r="A43" s="7">
        <v>3</v>
      </c>
      <c r="B43" s="7" t="s">
        <v>27</v>
      </c>
      <c r="C43" s="7"/>
      <c r="D43" s="7"/>
      <c r="E43" s="37" t="s">
        <v>47</v>
      </c>
      <c r="F43" s="15"/>
      <c r="G43" s="15"/>
      <c r="H43" s="15"/>
      <c r="I43" s="15"/>
      <c r="J43" s="16"/>
      <c r="K43" s="37" t="s">
        <v>48</v>
      </c>
      <c r="L43" s="16"/>
      <c r="M43" s="7"/>
      <c r="N43" s="7"/>
    </row>
    <row r="44" customHeight="1" spans="1:14">
      <c r="A44" s="7">
        <v>4</v>
      </c>
      <c r="B44" s="7"/>
      <c r="C44" s="7"/>
      <c r="D44" s="7"/>
      <c r="E44" s="37"/>
      <c r="F44" s="15"/>
      <c r="G44" s="15"/>
      <c r="H44" s="15"/>
      <c r="I44" s="15"/>
      <c r="J44" s="16"/>
      <c r="K44" s="37"/>
      <c r="L44" s="16"/>
      <c r="M44" s="7"/>
      <c r="N44" s="7"/>
    </row>
  </sheetData>
  <mergeCells count="28">
    <mergeCell ref="A1:N1"/>
    <mergeCell ref="A2:B2"/>
    <mergeCell ref="E2:F2"/>
    <mergeCell ref="G2:H2"/>
    <mergeCell ref="I2:N2"/>
    <mergeCell ref="E3:M3"/>
    <mergeCell ref="A36:D36"/>
    <mergeCell ref="K38:L38"/>
    <mergeCell ref="A39:N39"/>
    <mergeCell ref="B40:D40"/>
    <mergeCell ref="E40:J40"/>
    <mergeCell ref="K40:L40"/>
    <mergeCell ref="B41:D41"/>
    <mergeCell ref="E41:J41"/>
    <mergeCell ref="K41:L41"/>
    <mergeCell ref="B42:D42"/>
    <mergeCell ref="E42:J42"/>
    <mergeCell ref="K42:L42"/>
    <mergeCell ref="B43:D43"/>
    <mergeCell ref="E43:J43"/>
    <mergeCell ref="K43:L43"/>
    <mergeCell ref="B44:D44"/>
    <mergeCell ref="E44:J44"/>
    <mergeCell ref="K44:L44"/>
    <mergeCell ref="A3:A4"/>
    <mergeCell ref="B3:B4"/>
    <mergeCell ref="C3:C4"/>
    <mergeCell ref="D3:D4"/>
  </mergeCells>
  <dataValidations count="1">
    <dataValidation type="list" allowBlank="1" showInputMessage="1" showErrorMessage="1" sqref="D5:D35">
      <formula1>"在途,现场（陆）,现场（海）,休息"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5月出差费用报销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祝军</cp:lastModifiedBy>
  <dcterms:created xsi:type="dcterms:W3CDTF">2023-05-12T11:15:00Z</dcterms:created>
  <dcterms:modified xsi:type="dcterms:W3CDTF">2026-06-08T08:11:50Z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B9B575A71A0B4D78954B9CBCE4EACB05_13</vt:lpwstr>
  </property>
  <property fmtid="{D5CDD505-2E9C-101B-9397-08002B2CF9AE}" pid="4" name="CalculationRule">
    <vt:i4>0</vt:i4>
  </property>
</Properties>
</file>